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G:\共有ドライブ\FS\WK\2023追試\2023年追試解説\第四問\"/>
    </mc:Choice>
  </mc:AlternateContent>
  <bookViews>
    <workbookView xWindow="0" yWindow="0" windowWidth="23040" windowHeight="8976" activeTab="3"/>
  </bookViews>
  <sheets>
    <sheet name="シート1_得点一覧" sheetId="5" r:id="rId1"/>
    <sheet name="シート2_第1競技順位" sheetId="2" r:id="rId2"/>
    <sheet name="シート3_総合結果" sheetId="3" r:id="rId3"/>
    <sheet name="シート4_合計得点差一覧" sheetId="4" r:id="rId4"/>
  </sheets>
  <calcPr calcId="162913"/>
</workbook>
</file>

<file path=xl/calcChain.xml><?xml version="1.0" encoding="utf-8"?>
<calcChain xmlns="http://schemas.openxmlformats.org/spreadsheetml/2006/main">
  <c r="D3" i="3" l="1"/>
  <c r="D4" i="3"/>
  <c r="D5" i="3"/>
  <c r="D6" i="3"/>
  <c r="D7" i="3"/>
  <c r="D2" i="3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4" i="2"/>
  <c r="E3" i="2"/>
  <c r="A23" i="2"/>
  <c r="A5" i="2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4" i="2"/>
  <c r="D1" i="2"/>
  <c r="F3" i="5"/>
  <c r="F4" i="5"/>
  <c r="F5" i="5"/>
  <c r="F6" i="5"/>
  <c r="F7" i="5"/>
  <c r="F2" i="5"/>
</calcChain>
</file>

<file path=xl/sharedStrings.xml><?xml version="1.0" encoding="utf-8"?>
<sst xmlns="http://schemas.openxmlformats.org/spreadsheetml/2006/main" count="109" uniqueCount="32">
  <si>
    <t>競技名</t>
  </si>
  <si>
    <t>1位</t>
  </si>
  <si>
    <t>2位</t>
  </si>
  <si>
    <t>3位</t>
  </si>
  <si>
    <t>試合数</t>
  </si>
  <si>
    <t>得点の合計</t>
  </si>
  <si>
    <t>第1競技</t>
  </si>
  <si>
    <t>第2競技</t>
  </si>
  <si>
    <t>第3競技</t>
  </si>
  <si>
    <t>第7競技</t>
  </si>
  <si>
    <t>第8競技</t>
  </si>
  <si>
    <t>第9競技</t>
  </si>
  <si>
    <t>確認</t>
  </si>
  <si>
    <t>d</t>
  </si>
  <si>
    <t>b</t>
  </si>
  <si>
    <t>a</t>
  </si>
  <si>
    <t>c</t>
  </si>
  <si>
    <t>e</t>
  </si>
  <si>
    <t>f</t>
  </si>
  <si>
    <t>クラス名</t>
  </si>
  <si>
    <t>総合順位</t>
  </si>
  <si>
    <t>合計得点</t>
  </si>
  <si>
    <t>合計</t>
  </si>
  <si>
    <t>試合番号</t>
    <rPh sb="0" eb="2">
      <t>シアイ</t>
    </rPh>
    <rPh sb="2" eb="4">
      <t>バンゴウ</t>
    </rPh>
    <phoneticPr fontId="2"/>
  </si>
  <si>
    <t>a</t>
    <phoneticPr fontId="2"/>
  </si>
  <si>
    <t>c</t>
    <phoneticPr fontId="2"/>
  </si>
  <si>
    <t>b</t>
    <phoneticPr fontId="2"/>
  </si>
  <si>
    <t>f</t>
    <phoneticPr fontId="2"/>
  </si>
  <si>
    <t>クラス名</t>
    <rPh sb="3" eb="4">
      <t>メイ</t>
    </rPh>
    <phoneticPr fontId="2"/>
  </si>
  <si>
    <t>d</t>
    <phoneticPr fontId="2"/>
  </si>
  <si>
    <t>e</t>
    <phoneticPr fontId="2"/>
  </si>
  <si>
    <t>総合順位</t>
    <rPh sb="0" eb="2">
      <t>ソウゴウ</t>
    </rPh>
    <rPh sb="2" eb="4">
      <t>ジュンイ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</si>
</sst>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ＭＳ Ｐゴシック"/>
      <family val="2"/>
      <scheme val="minor"/>
    </font>
    <font>
      <b/>
      <sz val="11"/>
      <name val="ＭＳ Ｐゴシック"/>
      <family val="3"/>
      <charset val="128"/>
    </font>
    <font>
      <sz val="6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0" fontId="1" fillId="0" borderId="0" xfId="0" applyFont="1" applyBorder="1" applyAlignment="1">
      <alignment horizontal="center" vertical="top"/>
    </xf>
    <xf numFmtId="0" fontId="0" fillId="0" borderId="0" xfId="0" applyBorder="1"/>
    <xf numFmtId="0" fontId="0" fillId="0" borderId="1" xfId="0" applyNumberFormat="1" applyBorder="1"/>
    <xf numFmtId="0" fontId="0" fillId="0" borderId="1" xfId="0" applyFill="1" applyBorder="1"/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Views>
    <sheetView zoomScale="145" zoomScaleNormal="145" workbookViewId="0">
      <selection activeCell="C13" sqref="C13"/>
    </sheetView>
  </sheetViews>
  <sheetFormatPr defaultRowHeight="13.2" x14ac:dyDescent="0.2"/>
  <cols>
    <col min="6" max="6" width="12.33203125" bestFit="1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s="2" t="s">
        <v>6</v>
      </c>
      <c r="B2" s="2">
        <v>20</v>
      </c>
      <c r="C2" s="2">
        <v>10</v>
      </c>
      <c r="D2" s="2">
        <v>5</v>
      </c>
      <c r="E2" s="2">
        <v>20</v>
      </c>
      <c r="F2" s="2">
        <f>SUM(B2:D2)*E2</f>
        <v>700</v>
      </c>
    </row>
    <row r="3" spans="1:6" x14ac:dyDescent="0.2">
      <c r="A3" s="2" t="s">
        <v>7</v>
      </c>
      <c r="B3" s="2">
        <v>100</v>
      </c>
      <c r="C3" s="2">
        <v>50</v>
      </c>
      <c r="D3" s="2">
        <v>25</v>
      </c>
      <c r="E3" s="2">
        <v>1</v>
      </c>
      <c r="F3" s="2">
        <f t="shared" ref="F3:F7" si="0">SUM(B3:D3)*E3</f>
        <v>175</v>
      </c>
    </row>
    <row r="4" spans="1:6" x14ac:dyDescent="0.2">
      <c r="A4" s="2" t="s">
        <v>8</v>
      </c>
      <c r="B4" s="2">
        <v>30</v>
      </c>
      <c r="C4" s="2">
        <v>15</v>
      </c>
      <c r="D4" s="2">
        <v>5</v>
      </c>
      <c r="E4" s="2">
        <v>2</v>
      </c>
      <c r="F4" s="2">
        <f t="shared" si="0"/>
        <v>100</v>
      </c>
    </row>
    <row r="5" spans="1:6" x14ac:dyDescent="0.2">
      <c r="A5" s="2" t="s">
        <v>9</v>
      </c>
      <c r="B5" s="2">
        <v>20</v>
      </c>
      <c r="C5" s="2">
        <v>10</v>
      </c>
      <c r="D5" s="2">
        <v>5</v>
      </c>
      <c r="E5" s="2">
        <v>12</v>
      </c>
      <c r="F5" s="2">
        <f t="shared" si="0"/>
        <v>420</v>
      </c>
    </row>
    <row r="6" spans="1:6" x14ac:dyDescent="0.2">
      <c r="A6" s="2" t="s">
        <v>10</v>
      </c>
      <c r="B6" s="2">
        <v>20</v>
      </c>
      <c r="C6" s="2">
        <v>10</v>
      </c>
      <c r="D6" s="2">
        <v>5</v>
      </c>
      <c r="E6" s="2">
        <v>17</v>
      </c>
      <c r="F6" s="2">
        <f t="shared" si="0"/>
        <v>595</v>
      </c>
    </row>
    <row r="7" spans="1:6" x14ac:dyDescent="0.2">
      <c r="A7" s="2" t="s">
        <v>11</v>
      </c>
      <c r="B7" s="2">
        <v>40</v>
      </c>
      <c r="C7" s="2">
        <v>20</v>
      </c>
      <c r="D7" s="2">
        <v>10</v>
      </c>
      <c r="E7" s="2">
        <v>5</v>
      </c>
      <c r="F7" s="2">
        <f t="shared" si="0"/>
        <v>350</v>
      </c>
    </row>
  </sheetData>
  <phoneticPr fontId="2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zoomScale="130" zoomScaleNormal="130" workbookViewId="0">
      <selection activeCell="G17" sqref="G17"/>
    </sheetView>
  </sheetViews>
  <sheetFormatPr defaultRowHeight="13.2" x14ac:dyDescent="0.2"/>
  <sheetData>
    <row r="1" spans="1:5" x14ac:dyDescent="0.2">
      <c r="A1" s="1" t="s">
        <v>6</v>
      </c>
      <c r="B1" s="2"/>
      <c r="C1" s="1" t="s">
        <v>4</v>
      </c>
      <c r="D1" s="1">
        <f>VLOOKUP(A1,シート1_得点一覧!A1:E6,5)</f>
        <v>20</v>
      </c>
      <c r="E1" s="2"/>
    </row>
    <row r="2" spans="1:5" x14ac:dyDescent="0.2">
      <c r="A2" s="2" t="s">
        <v>23</v>
      </c>
      <c r="B2" s="2" t="s">
        <v>1</v>
      </c>
      <c r="C2" s="2" t="s">
        <v>2</v>
      </c>
      <c r="D2" s="2" t="s">
        <v>3</v>
      </c>
      <c r="E2" s="2" t="s">
        <v>12</v>
      </c>
    </row>
    <row r="3" spans="1:5" x14ac:dyDescent="0.2">
      <c r="A3" s="2">
        <v>1</v>
      </c>
      <c r="B3" s="2" t="s">
        <v>24</v>
      </c>
      <c r="C3" s="2" t="s">
        <v>13</v>
      </c>
      <c r="D3" s="2" t="s">
        <v>14</v>
      </c>
      <c r="E3" s="2" t="str">
        <f>IF(OR(B3=C3,B3=D3,C3=D3),"重複","")</f>
        <v/>
      </c>
    </row>
    <row r="4" spans="1:5" x14ac:dyDescent="0.2">
      <c r="A4" s="2">
        <f>IF(A3&lt;$D$1,A3+1,"")</f>
        <v>2</v>
      </c>
      <c r="B4" s="2" t="s">
        <v>25</v>
      </c>
      <c r="C4" s="2" t="s">
        <v>15</v>
      </c>
      <c r="D4" s="2" t="s">
        <v>16</v>
      </c>
      <c r="E4" s="2" t="str">
        <f t="shared" ref="E4:E22" si="0">IF(OR(B4=C4,B4=D4,C4=D4),"重複","")</f>
        <v>重複</v>
      </c>
    </row>
    <row r="5" spans="1:5" x14ac:dyDescent="0.2">
      <c r="A5" s="2">
        <f t="shared" ref="A5:A22" si="1">IF(A4&lt;$D$1,A4+1,"")</f>
        <v>3</v>
      </c>
      <c r="B5" s="2" t="s">
        <v>26</v>
      </c>
      <c r="C5" s="2" t="s">
        <v>17</v>
      </c>
      <c r="D5" s="2" t="s">
        <v>16</v>
      </c>
      <c r="E5" s="2" t="str">
        <f t="shared" si="0"/>
        <v/>
      </c>
    </row>
    <row r="6" spans="1:5" x14ac:dyDescent="0.2">
      <c r="A6" s="2">
        <f t="shared" si="1"/>
        <v>4</v>
      </c>
      <c r="B6" s="2" t="s">
        <v>27</v>
      </c>
      <c r="C6" s="2" t="s">
        <v>15</v>
      </c>
      <c r="D6" s="2" t="s">
        <v>13</v>
      </c>
      <c r="E6" s="2" t="str">
        <f t="shared" si="0"/>
        <v/>
      </c>
    </row>
    <row r="7" spans="1:5" x14ac:dyDescent="0.2">
      <c r="A7" s="2">
        <f t="shared" si="1"/>
        <v>5</v>
      </c>
      <c r="B7" s="2" t="s">
        <v>25</v>
      </c>
      <c r="C7" s="2" t="s">
        <v>18</v>
      </c>
      <c r="D7" s="2" t="s">
        <v>15</v>
      </c>
      <c r="E7" s="2" t="str">
        <f t="shared" si="0"/>
        <v/>
      </c>
    </row>
    <row r="8" spans="1:5" x14ac:dyDescent="0.2">
      <c r="A8" s="2">
        <f t="shared" si="1"/>
        <v>6</v>
      </c>
      <c r="B8" s="2" t="s">
        <v>24</v>
      </c>
      <c r="C8" s="2" t="s">
        <v>13</v>
      </c>
      <c r="D8" s="2" t="s">
        <v>14</v>
      </c>
      <c r="E8" s="2" t="str">
        <f t="shared" si="0"/>
        <v/>
      </c>
    </row>
    <row r="9" spans="1:5" x14ac:dyDescent="0.2">
      <c r="A9" s="2">
        <f t="shared" si="1"/>
        <v>7</v>
      </c>
      <c r="B9" s="2" t="s">
        <v>25</v>
      </c>
      <c r="C9" s="2" t="s">
        <v>15</v>
      </c>
      <c r="D9" s="2" t="s">
        <v>16</v>
      </c>
      <c r="E9" s="2" t="str">
        <f t="shared" si="0"/>
        <v>重複</v>
      </c>
    </row>
    <row r="10" spans="1:5" x14ac:dyDescent="0.2">
      <c r="A10" s="2">
        <f t="shared" si="1"/>
        <v>8</v>
      </c>
      <c r="B10" s="2" t="s">
        <v>26</v>
      </c>
      <c r="C10" s="2" t="s">
        <v>17</v>
      </c>
      <c r="D10" s="2" t="s">
        <v>16</v>
      </c>
      <c r="E10" s="2" t="str">
        <f t="shared" si="0"/>
        <v/>
      </c>
    </row>
    <row r="11" spans="1:5" x14ac:dyDescent="0.2">
      <c r="A11" s="2">
        <f t="shared" si="1"/>
        <v>9</v>
      </c>
      <c r="B11" s="2" t="s">
        <v>27</v>
      </c>
      <c r="C11" s="2" t="s">
        <v>15</v>
      </c>
      <c r="D11" s="2" t="s">
        <v>13</v>
      </c>
      <c r="E11" s="2" t="str">
        <f t="shared" si="0"/>
        <v/>
      </c>
    </row>
    <row r="12" spans="1:5" x14ac:dyDescent="0.2">
      <c r="A12" s="2">
        <f t="shared" si="1"/>
        <v>10</v>
      </c>
      <c r="B12" s="2" t="s">
        <v>25</v>
      </c>
      <c r="C12" s="2" t="s">
        <v>18</v>
      </c>
      <c r="D12" s="2" t="s">
        <v>15</v>
      </c>
      <c r="E12" s="2" t="str">
        <f t="shared" si="0"/>
        <v/>
      </c>
    </row>
    <row r="13" spans="1:5" x14ac:dyDescent="0.2">
      <c r="A13" s="2">
        <f t="shared" si="1"/>
        <v>11</v>
      </c>
      <c r="B13" s="2" t="s">
        <v>24</v>
      </c>
      <c r="C13" s="2" t="s">
        <v>13</v>
      </c>
      <c r="D13" s="2" t="s">
        <v>14</v>
      </c>
      <c r="E13" s="2" t="str">
        <f t="shared" si="0"/>
        <v/>
      </c>
    </row>
    <row r="14" spans="1:5" x14ac:dyDescent="0.2">
      <c r="A14" s="2">
        <f t="shared" si="1"/>
        <v>12</v>
      </c>
      <c r="B14" s="2" t="s">
        <v>25</v>
      </c>
      <c r="C14" s="2" t="s">
        <v>15</v>
      </c>
      <c r="D14" s="2" t="s">
        <v>16</v>
      </c>
      <c r="E14" s="2" t="str">
        <f t="shared" si="0"/>
        <v>重複</v>
      </c>
    </row>
    <row r="15" spans="1:5" x14ac:dyDescent="0.2">
      <c r="A15" s="2">
        <f t="shared" si="1"/>
        <v>13</v>
      </c>
      <c r="B15" s="2" t="s">
        <v>26</v>
      </c>
      <c r="C15" s="2" t="s">
        <v>17</v>
      </c>
      <c r="D15" s="2" t="s">
        <v>16</v>
      </c>
      <c r="E15" s="2" t="str">
        <f t="shared" si="0"/>
        <v/>
      </c>
    </row>
    <row r="16" spans="1:5" x14ac:dyDescent="0.2">
      <c r="A16" s="2">
        <f t="shared" si="1"/>
        <v>14</v>
      </c>
      <c r="B16" s="2" t="s">
        <v>27</v>
      </c>
      <c r="C16" s="2" t="s">
        <v>15</v>
      </c>
      <c r="D16" s="2" t="s">
        <v>13</v>
      </c>
      <c r="E16" s="2" t="str">
        <f t="shared" si="0"/>
        <v/>
      </c>
    </row>
    <row r="17" spans="1:5" x14ac:dyDescent="0.2">
      <c r="A17" s="2">
        <f t="shared" si="1"/>
        <v>15</v>
      </c>
      <c r="B17" s="2" t="s">
        <v>25</v>
      </c>
      <c r="C17" s="2" t="s">
        <v>18</v>
      </c>
      <c r="D17" s="2" t="s">
        <v>15</v>
      </c>
      <c r="E17" s="2" t="str">
        <f t="shared" si="0"/>
        <v/>
      </c>
    </row>
    <row r="18" spans="1:5" x14ac:dyDescent="0.2">
      <c r="A18" s="2">
        <f t="shared" si="1"/>
        <v>16</v>
      </c>
      <c r="B18" s="2" t="s">
        <v>24</v>
      </c>
      <c r="C18" s="2" t="s">
        <v>13</v>
      </c>
      <c r="D18" s="2" t="s">
        <v>14</v>
      </c>
      <c r="E18" s="2" t="str">
        <f t="shared" si="0"/>
        <v/>
      </c>
    </row>
    <row r="19" spans="1:5" x14ac:dyDescent="0.2">
      <c r="A19" s="2">
        <f t="shared" si="1"/>
        <v>17</v>
      </c>
      <c r="B19" s="2" t="s">
        <v>25</v>
      </c>
      <c r="C19" s="2" t="s">
        <v>15</v>
      </c>
      <c r="D19" s="2" t="s">
        <v>16</v>
      </c>
      <c r="E19" s="2" t="str">
        <f t="shared" si="0"/>
        <v>重複</v>
      </c>
    </row>
    <row r="20" spans="1:5" x14ac:dyDescent="0.2">
      <c r="A20" s="2">
        <f t="shared" si="1"/>
        <v>18</v>
      </c>
      <c r="B20" s="2" t="s">
        <v>26</v>
      </c>
      <c r="C20" s="2" t="s">
        <v>17</v>
      </c>
      <c r="D20" s="2" t="s">
        <v>16</v>
      </c>
      <c r="E20" s="2" t="str">
        <f t="shared" si="0"/>
        <v/>
      </c>
    </row>
    <row r="21" spans="1:5" x14ac:dyDescent="0.2">
      <c r="A21" s="2">
        <f t="shared" si="1"/>
        <v>19</v>
      </c>
      <c r="B21" s="2" t="s">
        <v>27</v>
      </c>
      <c r="C21" s="2" t="s">
        <v>15</v>
      </c>
      <c r="D21" s="2" t="s">
        <v>13</v>
      </c>
      <c r="E21" s="2" t="str">
        <f t="shared" si="0"/>
        <v/>
      </c>
    </row>
    <row r="22" spans="1:5" x14ac:dyDescent="0.2">
      <c r="A22" s="2">
        <f t="shared" si="1"/>
        <v>20</v>
      </c>
      <c r="B22" s="2" t="s">
        <v>25</v>
      </c>
      <c r="C22" s="2" t="s">
        <v>18</v>
      </c>
      <c r="D22" s="2" t="s">
        <v>15</v>
      </c>
      <c r="E22" s="2" t="str">
        <f t="shared" si="0"/>
        <v/>
      </c>
    </row>
    <row r="23" spans="1:5" x14ac:dyDescent="0.2">
      <c r="A23" t="str">
        <f>IF(A22&lt;$D$1,A22+1,"")</f>
        <v/>
      </c>
    </row>
  </sheetData>
  <phoneticPr fontId="2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"/>
  <sheetViews>
    <sheetView zoomScale="130" zoomScaleNormal="130" workbookViewId="0">
      <selection activeCell="I8" sqref="A1:I8"/>
    </sheetView>
  </sheetViews>
  <sheetFormatPr defaultRowHeight="13.2" x14ac:dyDescent="0.2"/>
  <sheetData>
    <row r="1" spans="1:9" x14ac:dyDescent="0.2">
      <c r="A1" s="1" t="s">
        <v>19</v>
      </c>
      <c r="B1" s="1" t="s">
        <v>20</v>
      </c>
      <c r="C1" s="1" t="s">
        <v>21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</row>
    <row r="2" spans="1:9" x14ac:dyDescent="0.2">
      <c r="A2" s="2" t="s">
        <v>15</v>
      </c>
      <c r="B2" s="2">
        <v>1</v>
      </c>
      <c r="C2" s="2">
        <v>700</v>
      </c>
      <c r="D2" s="2">
        <f>COUNTIF(シート2_第1競技順位!B$3:B22,A2)*シート1_得点一覧!B$2</f>
        <v>80</v>
      </c>
      <c r="E2" s="2">
        <v>25</v>
      </c>
      <c r="F2" s="2">
        <v>15</v>
      </c>
      <c r="G2" s="2">
        <v>75</v>
      </c>
      <c r="H2" s="2">
        <v>110</v>
      </c>
      <c r="I2" s="2">
        <v>80</v>
      </c>
    </row>
    <row r="3" spans="1:9" x14ac:dyDescent="0.2">
      <c r="A3" s="2" t="s">
        <v>14</v>
      </c>
      <c r="B3" s="2">
        <v>3</v>
      </c>
      <c r="C3" s="2">
        <v>585</v>
      </c>
      <c r="D3" s="2">
        <f>COUNTIF(シート2_第1競技順位!B$3:B23,A3)*シート1_得点一覧!B$2</f>
        <v>80</v>
      </c>
      <c r="E3" s="2">
        <v>0</v>
      </c>
      <c r="F3" s="2">
        <v>15</v>
      </c>
      <c r="G3" s="2">
        <v>70</v>
      </c>
      <c r="H3" s="2">
        <v>115</v>
      </c>
      <c r="I3" s="2">
        <v>50</v>
      </c>
    </row>
    <row r="4" spans="1:9" x14ac:dyDescent="0.2">
      <c r="A4" s="2" t="s">
        <v>16</v>
      </c>
      <c r="B4" s="2">
        <v>3</v>
      </c>
      <c r="C4" s="2">
        <v>585</v>
      </c>
      <c r="D4" s="2">
        <f>COUNTIF(シート2_第1競技順位!B$3:B24,A4)*シート1_得点一覧!B$2</f>
        <v>160</v>
      </c>
      <c r="E4" s="2">
        <v>100</v>
      </c>
      <c r="F4" s="2">
        <v>0</v>
      </c>
      <c r="G4" s="2">
        <v>50</v>
      </c>
      <c r="H4" s="2">
        <v>95</v>
      </c>
      <c r="I4" s="2">
        <v>40</v>
      </c>
    </row>
    <row r="5" spans="1:9" x14ac:dyDescent="0.2">
      <c r="A5" s="2" t="s">
        <v>13</v>
      </c>
      <c r="B5" s="2">
        <v>6</v>
      </c>
      <c r="C5" s="2">
        <v>380</v>
      </c>
      <c r="D5" s="2">
        <f>COUNTIF(シート2_第1競技順位!B$3:B25,A5)*シート1_得点一覧!B$2</f>
        <v>0</v>
      </c>
      <c r="E5" s="2">
        <v>0</v>
      </c>
      <c r="F5" s="2">
        <v>5</v>
      </c>
      <c r="G5" s="2">
        <v>50</v>
      </c>
      <c r="H5" s="2">
        <v>55</v>
      </c>
      <c r="I5" s="2">
        <v>30</v>
      </c>
    </row>
    <row r="6" spans="1:9" x14ac:dyDescent="0.2">
      <c r="A6" s="2" t="s">
        <v>17</v>
      </c>
      <c r="B6" s="2">
        <v>5</v>
      </c>
      <c r="C6" s="2">
        <v>570</v>
      </c>
      <c r="D6" s="2">
        <f>COUNTIF(シート2_第1競技順位!B$3:B26,A6)*シート1_得点一覧!B$2</f>
        <v>0</v>
      </c>
      <c r="E6" s="2">
        <v>50</v>
      </c>
      <c r="F6" s="2">
        <v>30</v>
      </c>
      <c r="G6" s="2">
        <v>85</v>
      </c>
      <c r="H6" s="2">
        <v>100</v>
      </c>
      <c r="I6" s="2">
        <v>50</v>
      </c>
    </row>
    <row r="7" spans="1:9" x14ac:dyDescent="0.2">
      <c r="A7" s="2" t="s">
        <v>18</v>
      </c>
      <c r="B7" s="2">
        <v>2</v>
      </c>
      <c r="C7" s="2">
        <v>670</v>
      </c>
      <c r="D7" s="2">
        <f>COUNTIF(シート2_第1競技順位!B$3:B27,A7)*シート1_得点一覧!B$2</f>
        <v>80</v>
      </c>
      <c r="E7" s="2">
        <v>0</v>
      </c>
      <c r="F7" s="2">
        <v>35</v>
      </c>
      <c r="G7" s="2">
        <v>90</v>
      </c>
      <c r="H7" s="2">
        <v>120</v>
      </c>
      <c r="I7" s="2">
        <v>100</v>
      </c>
    </row>
    <row r="8" spans="1:9" x14ac:dyDescent="0.2">
      <c r="A8" s="2" t="s">
        <v>22</v>
      </c>
      <c r="B8" s="2"/>
      <c r="C8" s="2">
        <v>700</v>
      </c>
      <c r="D8" s="2">
        <v>175</v>
      </c>
      <c r="E8" s="2">
        <v>100</v>
      </c>
      <c r="F8" s="2">
        <v>420</v>
      </c>
      <c r="G8" s="2">
        <v>595</v>
      </c>
      <c r="H8" s="2">
        <v>350</v>
      </c>
      <c r="I8" s="2"/>
    </row>
  </sheetData>
  <phoneticPr fontId="2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"/>
  <sheetViews>
    <sheetView tabSelected="1" zoomScale="145" zoomScaleNormal="145" workbookViewId="0">
      <selection activeCell="I17" sqref="I17"/>
    </sheetView>
  </sheetViews>
  <sheetFormatPr defaultRowHeight="13.2" x14ac:dyDescent="0.2"/>
  <cols>
    <col min="1" max="1" width="11.109375" customWidth="1"/>
    <col min="2" max="2" width="10.5546875" customWidth="1"/>
  </cols>
  <sheetData>
    <row r="1" spans="1:11" x14ac:dyDescent="0.2">
      <c r="A1" s="3"/>
      <c r="B1" s="3"/>
      <c r="C1" s="3"/>
      <c r="D1" s="3"/>
      <c r="E1" s="3"/>
      <c r="F1" s="3"/>
      <c r="G1" s="4"/>
      <c r="H1" s="4"/>
      <c r="I1" s="4"/>
      <c r="J1" s="4"/>
      <c r="K1" s="4"/>
    </row>
    <row r="2" spans="1:11" x14ac:dyDescent="0.2">
      <c r="A2" s="4"/>
      <c r="B2" s="2" t="s">
        <v>31</v>
      </c>
      <c r="C2" s="2" t="s">
        <v>28</v>
      </c>
      <c r="D2" s="2" t="s">
        <v>15</v>
      </c>
      <c r="E2" s="2" t="s">
        <v>14</v>
      </c>
      <c r="F2" s="2" t="s">
        <v>16</v>
      </c>
      <c r="G2" s="2" t="s">
        <v>13</v>
      </c>
      <c r="H2" s="2" t="s">
        <v>17</v>
      </c>
      <c r="I2" s="2" t="s">
        <v>18</v>
      </c>
      <c r="J2" s="4"/>
      <c r="K2" s="4"/>
    </row>
    <row r="3" spans="1:11" x14ac:dyDescent="0.2">
      <c r="A3" s="4"/>
      <c r="B3" s="2"/>
      <c r="C3" s="2" t="s">
        <v>24</v>
      </c>
      <c r="D3" s="5">
        <v>0</v>
      </c>
      <c r="E3" s="5">
        <v>115</v>
      </c>
      <c r="F3" s="5">
        <v>115</v>
      </c>
      <c r="G3" s="5">
        <v>320</v>
      </c>
      <c r="H3" s="5">
        <v>130</v>
      </c>
      <c r="I3" s="5">
        <v>30</v>
      </c>
      <c r="J3" s="4"/>
      <c r="K3" s="4"/>
    </row>
    <row r="4" spans="1:11" x14ac:dyDescent="0.2">
      <c r="A4" s="4"/>
      <c r="B4" s="2"/>
      <c r="C4" s="2" t="s">
        <v>26</v>
      </c>
      <c r="D4" s="5">
        <v>-115</v>
      </c>
      <c r="E4" s="5">
        <v>0</v>
      </c>
      <c r="F4" s="5">
        <v>0</v>
      </c>
      <c r="G4" s="5">
        <v>205</v>
      </c>
      <c r="H4" s="5">
        <v>15</v>
      </c>
      <c r="I4" s="5">
        <v>-85</v>
      </c>
      <c r="J4" s="4"/>
      <c r="K4" s="4"/>
    </row>
    <row r="5" spans="1:11" x14ac:dyDescent="0.2">
      <c r="A5" s="4"/>
      <c r="B5" s="2"/>
      <c r="C5" s="6" t="s">
        <v>25</v>
      </c>
      <c r="D5" s="5">
        <v>-115</v>
      </c>
      <c r="E5" s="5">
        <v>0</v>
      </c>
      <c r="F5" s="5">
        <v>0</v>
      </c>
      <c r="G5" s="5">
        <v>205</v>
      </c>
      <c r="H5" s="5">
        <v>15</v>
      </c>
      <c r="I5" s="5">
        <v>-85</v>
      </c>
      <c r="J5" s="4"/>
      <c r="K5" s="4"/>
    </row>
    <row r="6" spans="1:11" x14ac:dyDescent="0.2">
      <c r="A6" s="4"/>
      <c r="B6" s="2"/>
      <c r="C6" s="6" t="s">
        <v>29</v>
      </c>
      <c r="D6" s="5">
        <v>-320</v>
      </c>
      <c r="E6" s="5">
        <v>-205</v>
      </c>
      <c r="F6" s="5">
        <v>-205</v>
      </c>
      <c r="G6" s="5">
        <v>0</v>
      </c>
      <c r="H6" s="5">
        <v>-190</v>
      </c>
      <c r="I6" s="5">
        <v>-290</v>
      </c>
      <c r="J6" s="4"/>
      <c r="K6" s="4"/>
    </row>
    <row r="7" spans="1:11" x14ac:dyDescent="0.2">
      <c r="A7" s="4"/>
      <c r="B7" s="2"/>
      <c r="C7" s="6" t="s">
        <v>30</v>
      </c>
      <c r="D7" s="5">
        <v>-130</v>
      </c>
      <c r="E7" s="5">
        <v>-15</v>
      </c>
      <c r="F7" s="5">
        <v>-15</v>
      </c>
      <c r="G7" s="5">
        <v>190</v>
      </c>
      <c r="H7" s="5">
        <v>0</v>
      </c>
      <c r="I7" s="5">
        <v>-100</v>
      </c>
      <c r="J7" s="4"/>
      <c r="K7" s="4"/>
    </row>
    <row r="8" spans="1:11" x14ac:dyDescent="0.2">
      <c r="A8" s="4"/>
      <c r="B8" s="2"/>
      <c r="C8" s="6" t="s">
        <v>27</v>
      </c>
      <c r="D8" s="5">
        <v>-30</v>
      </c>
      <c r="E8" s="5">
        <v>85</v>
      </c>
      <c r="F8" s="5">
        <v>85</v>
      </c>
      <c r="G8" s="5">
        <v>290</v>
      </c>
      <c r="H8" s="5">
        <v>100</v>
      </c>
      <c r="I8" s="5">
        <v>0</v>
      </c>
      <c r="J8" s="4"/>
      <c r="K8" s="4"/>
    </row>
    <row r="9" spans="1:11" x14ac:dyDescent="0.2">
      <c r="A9" s="4"/>
      <c r="B9" s="4"/>
      <c r="C9" s="4"/>
      <c r="D9" s="4"/>
      <c r="E9" s="4"/>
      <c r="F9" s="4"/>
      <c r="G9" s="4"/>
      <c r="H9" s="4"/>
      <c r="I9" s="4"/>
      <c r="J9" s="4"/>
      <c r="K9" s="4"/>
    </row>
    <row r="10" spans="1:11" x14ac:dyDescent="0.2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</row>
  </sheetData>
  <phoneticPr fontId="2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シート1_得点一覧</vt:lpstr>
      <vt:lpstr>シート2_第1競技順位</vt:lpstr>
      <vt:lpstr>シート3_総合結果</vt:lpstr>
      <vt:lpstr>シート4_合計得点差一覧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yamagata</cp:lastModifiedBy>
  <dcterms:created xsi:type="dcterms:W3CDTF">2025-06-28T10:18:56Z</dcterms:created>
  <dcterms:modified xsi:type="dcterms:W3CDTF">2025-06-30T00:54:00Z</dcterms:modified>
</cp:coreProperties>
</file>